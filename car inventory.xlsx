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TICS PROJECTS\EXCEL\"/>
    </mc:Choice>
  </mc:AlternateContent>
  <xr:revisionPtr revIDLastSave="0" documentId="13_ncr:1_{0AF90CB5-05C1-48AB-9425-D41F2C59F41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ar inventory" sheetId="1" r:id="rId1"/>
    <sheet name="Sheet1" sheetId="2" r:id="rId2"/>
  </sheets>
  <calcPr calcId="191029"/>
  <pivotCaches>
    <pivotCache cacheId="0" r:id="rId3"/>
  </pivotCaches>
</workbook>
</file>

<file path=xl/calcChain.xml><?xml version="1.0" encoding="utf-8"?>
<calcChain xmlns="http://schemas.openxmlformats.org/spreadsheetml/2006/main">
  <c r="E42" i="1" l="1"/>
</calcChain>
</file>

<file path=xl/sharedStrings.xml><?xml version="1.0" encoding="utf-8"?>
<sst xmlns="http://schemas.openxmlformats.org/spreadsheetml/2006/main" count="526" uniqueCount="181">
  <si>
    <t>Car ID</t>
  </si>
  <si>
    <t>Makers</t>
  </si>
  <si>
    <t>Makers (Full Name)</t>
  </si>
  <si>
    <t>Model</t>
  </si>
  <si>
    <t>Model (Full Name)</t>
  </si>
  <si>
    <t>Manufacture Year</t>
  </si>
  <si>
    <t>Age</t>
  </si>
  <si>
    <t>Miles</t>
  </si>
  <si>
    <t>Miles / Year</t>
  </si>
  <si>
    <t>Color</t>
  </si>
  <si>
    <t>Driver</t>
  </si>
  <si>
    <t>Warantee Miles</t>
  </si>
  <si>
    <t>Covered?</t>
  </si>
  <si>
    <t>New Car ID</t>
  </si>
  <si>
    <t>FD06MTG001</t>
  </si>
  <si>
    <t>FD</t>
  </si>
  <si>
    <t>FORD</t>
  </si>
  <si>
    <t>MTG</t>
  </si>
  <si>
    <t>MUSTANG</t>
  </si>
  <si>
    <t>Green</t>
  </si>
  <si>
    <t>Chan</t>
  </si>
  <si>
    <t>Y</t>
  </si>
  <si>
    <t>FD06MTGGRE001</t>
  </si>
  <si>
    <t>FD06MTG002</t>
  </si>
  <si>
    <t>White</t>
  </si>
  <si>
    <t>Bard</t>
  </si>
  <si>
    <t>FD06MTGWHI002</t>
  </si>
  <si>
    <t>FD08MTG003</t>
  </si>
  <si>
    <t>Ewenty</t>
  </si>
  <si>
    <t>FD08MTGGRE003</t>
  </si>
  <si>
    <t>FD08MTG004</t>
  </si>
  <si>
    <t>Black</t>
  </si>
  <si>
    <t>Swartz</t>
  </si>
  <si>
    <t>FD08MTGBLA004</t>
  </si>
  <si>
    <t>FD08MTG005</t>
  </si>
  <si>
    <t>Gaul</t>
  </si>
  <si>
    <t>FD08MTGBLA005</t>
  </si>
  <si>
    <t>FD06FCS006</t>
  </si>
  <si>
    <t>FCS</t>
  </si>
  <si>
    <t>FOCUS</t>
  </si>
  <si>
    <t>Blue</t>
  </si>
  <si>
    <t>Vizzini</t>
  </si>
  <si>
    <t>FD06FCSBLU006</t>
  </si>
  <si>
    <t>FD06FCS007</t>
  </si>
  <si>
    <t>Howard</t>
  </si>
  <si>
    <t>FD06FCSWHI007</t>
  </si>
  <si>
    <t>FD09FCS008</t>
  </si>
  <si>
    <t>Rodriguez</t>
  </si>
  <si>
    <t>FD09FCSWHI008</t>
  </si>
  <si>
    <t>FD13FCS009</t>
  </si>
  <si>
    <t>Smith</t>
  </si>
  <si>
    <t>FD13FCSBLU009</t>
  </si>
  <si>
    <t>FD13FCS010</t>
  </si>
  <si>
    <t>Jones</t>
  </si>
  <si>
    <t>FD13FCSBLA010</t>
  </si>
  <si>
    <t>FD12FCS011</t>
  </si>
  <si>
    <t>FD12FCSWHI011</t>
  </si>
  <si>
    <t>FD13FCS012</t>
  </si>
  <si>
    <t>Santos</t>
  </si>
  <si>
    <t>FD13FCSBLA012</t>
  </si>
  <si>
    <t>FD13FCS013</t>
  </si>
  <si>
    <t>Hulinski</t>
  </si>
  <si>
    <t>FD13FCSGRE013</t>
  </si>
  <si>
    <t>GM09CMR014</t>
  </si>
  <si>
    <t>GM</t>
  </si>
  <si>
    <t>GENERAL MOTORS</t>
  </si>
  <si>
    <t>CMR</t>
  </si>
  <si>
    <t>CAMERO</t>
  </si>
  <si>
    <t>GM09CMRBLA014</t>
  </si>
  <si>
    <t>GM12CMR015</t>
  </si>
  <si>
    <t>GM12CMRBLA015</t>
  </si>
  <si>
    <t>GM14CMR016</t>
  </si>
  <si>
    <t>GM14CMRBLU016</t>
  </si>
  <si>
    <t>GM10SLV017</t>
  </si>
  <si>
    <t>SLV</t>
  </si>
  <si>
    <t>SILVERADO</t>
  </si>
  <si>
    <t>GM10SLVBLA017</t>
  </si>
  <si>
    <t>GM98SLV018</t>
  </si>
  <si>
    <t>Lyon</t>
  </si>
  <si>
    <t>GM98SLVGRE018</t>
  </si>
  <si>
    <t>GM00SLV019</t>
  </si>
  <si>
    <t>Red</t>
  </si>
  <si>
    <t>GM00SLVRED019</t>
  </si>
  <si>
    <t>TY96CAM020</t>
  </si>
  <si>
    <t>TY</t>
  </si>
  <si>
    <t>TOYOTA</t>
  </si>
  <si>
    <t>CAM</t>
  </si>
  <si>
    <t>CAMREY</t>
  </si>
  <si>
    <t>TY96CAMGRE020</t>
  </si>
  <si>
    <t>TY98CAM021</t>
  </si>
  <si>
    <t>TY98CAMWHI021</t>
  </si>
  <si>
    <t>TY00CAM022</t>
  </si>
  <si>
    <t>TY00CAMRED022</t>
  </si>
  <si>
    <t>TY02CAM023</t>
  </si>
  <si>
    <t>TY02CAMBLA023</t>
  </si>
  <si>
    <t>TY09CAM024</t>
  </si>
  <si>
    <t>Praulty</t>
  </si>
  <si>
    <t>TY09CAMWHI024</t>
  </si>
  <si>
    <t>TY02COR025</t>
  </si>
  <si>
    <t>COR</t>
  </si>
  <si>
    <t>COROLLA</t>
  </si>
  <si>
    <t>TY02CORGRE025</t>
  </si>
  <si>
    <t>TY03COR026</t>
  </si>
  <si>
    <t>TY03CORBLA026</t>
  </si>
  <si>
    <t>TY14COR027</t>
  </si>
  <si>
    <t>McCall</t>
  </si>
  <si>
    <t>Not Covered</t>
  </si>
  <si>
    <t>TY14CORWHI027</t>
  </si>
  <si>
    <t>TY12COR028</t>
  </si>
  <si>
    <t>TY12CORGRE028</t>
  </si>
  <si>
    <t>TY12CAM029</t>
  </si>
  <si>
    <t>TY12CAMBLA029</t>
  </si>
  <si>
    <t>HO99CIV030</t>
  </si>
  <si>
    <t>HO</t>
  </si>
  <si>
    <t>HONDA</t>
  </si>
  <si>
    <t>CIV</t>
  </si>
  <si>
    <t>CIVIC</t>
  </si>
  <si>
    <t>HO99CIVBLA030</t>
  </si>
  <si>
    <t>HO01CIV031</t>
  </si>
  <si>
    <t>HO01CIVBLA031</t>
  </si>
  <si>
    <t>HO10CIV032</t>
  </si>
  <si>
    <t>HO10CIVBLA032</t>
  </si>
  <si>
    <t>HO10CIV033</t>
  </si>
  <si>
    <t>HO10CIVWHI033</t>
  </si>
  <si>
    <t>HO11CIV034</t>
  </si>
  <si>
    <t>Torrens</t>
  </si>
  <si>
    <t>HO11CIVBLA034</t>
  </si>
  <si>
    <t>HO12CIV035</t>
  </si>
  <si>
    <t>HO12CIVBLA035</t>
  </si>
  <si>
    <t>HO13CIV036</t>
  </si>
  <si>
    <t>HO13CIVBLA036</t>
  </si>
  <si>
    <t>HO05ODY037</t>
  </si>
  <si>
    <t>ODY</t>
  </si>
  <si>
    <t>ODYSSEY</t>
  </si>
  <si>
    <t>HO05ODYBLA037</t>
  </si>
  <si>
    <t>HO07ODY038</t>
  </si>
  <si>
    <t>HO07ODYBLA038</t>
  </si>
  <si>
    <t>HO08ODY039</t>
  </si>
  <si>
    <t>HO08ODYBLA039</t>
  </si>
  <si>
    <t>HO010ODY040</t>
  </si>
  <si>
    <t>HO010ODBLU040</t>
  </si>
  <si>
    <t>HO14ODY041</t>
  </si>
  <si>
    <t>HO14ODYWHI041</t>
  </si>
  <si>
    <t>CR04PTC042</t>
  </si>
  <si>
    <t>CR</t>
  </si>
  <si>
    <t>CHRYSLER</t>
  </si>
  <si>
    <t>PTC</t>
  </si>
  <si>
    <t>PT CRUISER</t>
  </si>
  <si>
    <t>CR04PTCBLU042</t>
  </si>
  <si>
    <t>CR07PTC043</t>
  </si>
  <si>
    <t>CR07PTCBLA043</t>
  </si>
  <si>
    <t>CR11PTC044</t>
  </si>
  <si>
    <t>CR11PTCBLU044</t>
  </si>
  <si>
    <t>CR99CAR045</t>
  </si>
  <si>
    <t>CAR</t>
  </si>
  <si>
    <t>CARAVAN</t>
  </si>
  <si>
    <t>CR99CARBLU045</t>
  </si>
  <si>
    <t>CR00CAR046</t>
  </si>
  <si>
    <t>CR00CARBLA046</t>
  </si>
  <si>
    <t>CR04CAR047</t>
  </si>
  <si>
    <t>Yousef</t>
  </si>
  <si>
    <t>CR04CARWHI047</t>
  </si>
  <si>
    <t>CR04CAR048</t>
  </si>
  <si>
    <t>CR04CARBLU048</t>
  </si>
  <si>
    <t>HY11ELA049</t>
  </si>
  <si>
    <t>HY</t>
  </si>
  <si>
    <t>HYUNDAI</t>
  </si>
  <si>
    <t>ELA</t>
  </si>
  <si>
    <t>ELANTRA</t>
  </si>
  <si>
    <t>HY11ELAWHI049</t>
  </si>
  <si>
    <t>HY12ELA050</t>
  </si>
  <si>
    <t>HY12ELABLA050</t>
  </si>
  <si>
    <t>HY13ELA051</t>
  </si>
  <si>
    <t>HY13ELABLA051</t>
  </si>
  <si>
    <t>HY13ELA052</t>
  </si>
  <si>
    <t>HY13ELABLA052</t>
  </si>
  <si>
    <t xml:space="preserve"> </t>
  </si>
  <si>
    <t>Row Labels</t>
  </si>
  <si>
    <t>Grand Total</t>
  </si>
  <si>
    <t>Count of Model (Full Name)</t>
  </si>
  <si>
    <t>CAR INVENTORY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</si>
</sst>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rgb="FFFFFF00"/>
      <name val="Calibri"/>
      <family val="2"/>
      <scheme val="minor"/>
    </font>
    <font>
      <sz val="11"/>
      <color rgb="FFFFFF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" fontId="0" fillId="0" borderId="0" xfId="0" applyNumberFormat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8" fillId="33" borderId="0" xfId="0" applyFont="1" applyFill="1" applyAlignment="1">
      <alignment horizontal="center"/>
    </xf>
    <xf numFmtId="0" fontId="19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inventory.xlsx]Sheet1!PivotTable1</c:name>
    <c:fmtId val="8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NO</a:t>
            </a:r>
            <a:r>
              <a:rPr lang="en-US" baseline="0"/>
              <a:t> OF CARS/BRAND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7475-4E6F-A177-9963C084465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7475-4E6F-A177-9963C084465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7475-4E6F-A177-9963C084465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7475-4E6F-A177-9963C084465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7475-4E6F-A177-9963C084465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7475-4E6F-A177-9963C0844658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Sheet1!$A$4:$A$10</c:f>
              <c:strCache>
                <c:ptCount val="6"/>
                <c:pt idx="0">
                  <c:v>CHRYSLER</c:v>
                </c:pt>
                <c:pt idx="1">
                  <c:v>FORD</c:v>
                </c:pt>
                <c:pt idx="2">
                  <c:v>GENERAL MOTORS</c:v>
                </c:pt>
                <c:pt idx="3">
                  <c:v>HONDA</c:v>
                </c:pt>
                <c:pt idx="4">
                  <c:v>HYUNDAI</c:v>
                </c:pt>
                <c:pt idx="5">
                  <c:v>TOYOTA</c:v>
                </c:pt>
              </c:strCache>
            </c:strRef>
          </c:cat>
          <c:val>
            <c:numRef>
              <c:f>Sheet1!$B$4:$B$10</c:f>
              <c:numCache>
                <c:formatCode>General</c:formatCode>
                <c:ptCount val="6"/>
                <c:pt idx="0">
                  <c:v>7</c:v>
                </c:pt>
                <c:pt idx="1">
                  <c:v>13</c:v>
                </c:pt>
                <c:pt idx="2">
                  <c:v>6</c:v>
                </c:pt>
                <c:pt idx="3">
                  <c:v>12</c:v>
                </c:pt>
                <c:pt idx="4">
                  <c:v>4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BE-42E7-922B-A01F0A302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8</xdr:row>
      <xdr:rowOff>167640</xdr:rowOff>
    </xdr:from>
    <xdr:to>
      <xdr:col>11</xdr:col>
      <xdr:colOff>495300</xdr:colOff>
      <xdr:row>30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0B19A0-769B-1DBD-3F68-2C51F0ACD5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ay" refreshedDate="45043.748408101848" createdVersion="8" refreshedVersion="8" minRefreshableVersion="3" recordCount="52" xr:uid="{AC998AD7-26A6-4F36-BB06-E56A9E8440CE}">
  <cacheSource type="worksheet">
    <worksheetSource ref="A2:N54" sheet="car inventory"/>
  </cacheSource>
  <cacheFields count="14">
    <cacheField name="Car ID" numFmtId="0">
      <sharedItems/>
    </cacheField>
    <cacheField name="Makers" numFmtId="0">
      <sharedItems count="6">
        <s v="FD"/>
        <s v="GM"/>
        <s v="TY"/>
        <s v="HO"/>
        <s v="CR"/>
        <s v="HY"/>
      </sharedItems>
    </cacheField>
    <cacheField name="Makers (Full Name)" numFmtId="0">
      <sharedItems count="6">
        <s v="FORD"/>
        <s v="GENERAL MOTORS"/>
        <s v="TOYOTA"/>
        <s v="HONDA"/>
        <s v="CHRYSLER"/>
        <s v="HYUNDAI"/>
      </sharedItems>
    </cacheField>
    <cacheField name="Model" numFmtId="0">
      <sharedItems/>
    </cacheField>
    <cacheField name="Model (Full Name)" numFmtId="0">
      <sharedItems count="12">
        <s v="MUSTANG"/>
        <s v="FOCUS"/>
        <s v="CAMERO"/>
        <s v="SILVERADO"/>
        <s v="CAMREY"/>
        <s v="COROLLA"/>
        <s v="CIVIC"/>
        <s v="ODYSSEY"/>
        <e v="#N/A"/>
        <s v="PT CRUISER"/>
        <s v="CARAVAN"/>
        <s v="ELANTRA"/>
      </sharedItems>
    </cacheField>
    <cacheField name="Manufacture Year" numFmtId="0">
      <sharedItems containsSemiMixedTypes="0" containsString="0" containsNumber="1" containsInteger="1" minValue="0" maxValue="99"/>
    </cacheField>
    <cacheField name="Age" numFmtId="0">
      <sharedItems containsSemiMixedTypes="0" containsString="0" containsNumber="1" containsInteger="1" minValue="9" maxValue="27"/>
    </cacheField>
    <cacheField name="Miles" numFmtId="4">
      <sharedItems containsSemiMixedTypes="0" containsString="0" containsNumber="1" minValue="3708.1" maxValue="114660.6"/>
    </cacheField>
    <cacheField name="Miles / Year" numFmtId="0">
      <sharedItems containsSemiMixedTypes="0" containsString="0" containsNumber="1" minValue="218.12" maxValue="8316.27"/>
    </cacheField>
    <cacheField name="Color" numFmtId="0">
      <sharedItems/>
    </cacheField>
    <cacheField name="Driver" numFmtId="0">
      <sharedItems count="17">
        <s v="Chan"/>
        <s v="Bard"/>
        <s v="Ewenty"/>
        <s v="Swartz"/>
        <s v="Gaul"/>
        <s v="Vizzini"/>
        <s v="Howard"/>
        <s v="Rodriguez"/>
        <s v="Smith"/>
        <s v="Jones"/>
        <s v="Santos"/>
        <s v="Hulinski"/>
        <s v="Lyon"/>
        <s v="Praulty"/>
        <s v="McCall"/>
        <s v="Torrens"/>
        <s v="Yousef"/>
      </sharedItems>
    </cacheField>
    <cacheField name="Warantee Miles" numFmtId="4">
      <sharedItems containsSemiMixedTypes="0" containsString="0" containsNumber="1" containsInteger="1" minValue="50000" maxValue="100000"/>
    </cacheField>
    <cacheField name="Covered?" numFmtId="0">
      <sharedItems/>
    </cacheField>
    <cacheField name="New Car ID" numFmtId="0">
      <sharedItems/>
    </cacheField>
  </cacheFields>
  <extLst>
    <ext xmlns:x14="http://schemas.microsoft.com/office/spreadsheetml/2009/9/main" uri="{725AE2AE-9491-48be-B2B4-4EB974FC3084}">
      <x14:pivotCacheDefinition pivotCacheId="86252196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FD06MTG001"/>
    <x v="0"/>
    <x v="0"/>
    <s v="MTG"/>
    <x v="0"/>
    <n v="6"/>
    <n v="17"/>
    <n v="3708.1"/>
    <n v="218.12"/>
    <s v="Green"/>
    <x v="0"/>
    <n v="100000"/>
    <s v="Y"/>
    <s v="FD06MTGGRE001"/>
  </r>
  <r>
    <s v="FD06MTG002"/>
    <x v="0"/>
    <x v="0"/>
    <s v="MTG"/>
    <x v="0"/>
    <n v="6"/>
    <n v="17"/>
    <n v="17556.3"/>
    <n v="1032.72"/>
    <s v="White"/>
    <x v="1"/>
    <n v="75000"/>
    <s v="Y"/>
    <s v="FD06MTGWHI002"/>
  </r>
  <r>
    <s v="FD08MTG003"/>
    <x v="0"/>
    <x v="0"/>
    <s v="MTG"/>
    <x v="0"/>
    <n v="8"/>
    <n v="15"/>
    <n v="19421.099999999999"/>
    <n v="1294.74"/>
    <s v="Green"/>
    <x v="2"/>
    <n v="100000"/>
    <s v="Y"/>
    <s v="FD08MTGGRE003"/>
  </r>
  <r>
    <s v="FD08MTG004"/>
    <x v="0"/>
    <x v="0"/>
    <s v="MTG"/>
    <x v="0"/>
    <n v="8"/>
    <n v="15"/>
    <n v="22188.5"/>
    <n v="1479.23"/>
    <s v="Black"/>
    <x v="3"/>
    <n v="100000"/>
    <s v="Y"/>
    <s v="FD08MTGBLA004"/>
  </r>
  <r>
    <s v="FD08MTG005"/>
    <x v="0"/>
    <x v="0"/>
    <s v="MTG"/>
    <x v="0"/>
    <n v="8"/>
    <n v="15"/>
    <n v="19341.7"/>
    <n v="1289.45"/>
    <s v="Black"/>
    <x v="4"/>
    <n v="100000"/>
    <s v="Y"/>
    <s v="FD08MTGBLA005"/>
  </r>
  <r>
    <s v="FD06FCS006"/>
    <x v="0"/>
    <x v="0"/>
    <s v="FCS"/>
    <x v="1"/>
    <n v="6"/>
    <n v="17"/>
    <n v="22282"/>
    <n v="1310.71"/>
    <s v="Blue"/>
    <x v="5"/>
    <n v="100000"/>
    <s v="Y"/>
    <s v="FD06FCSBLU006"/>
  </r>
  <r>
    <s v="FD06FCS007"/>
    <x v="0"/>
    <x v="0"/>
    <s v="FCS"/>
    <x v="1"/>
    <n v="6"/>
    <n v="17"/>
    <n v="22573"/>
    <n v="1327.82"/>
    <s v="White"/>
    <x v="6"/>
    <n v="100000"/>
    <s v="Y"/>
    <s v="FD06FCSWHI007"/>
  </r>
  <r>
    <s v="FD09FCS008"/>
    <x v="0"/>
    <x v="0"/>
    <s v="FCS"/>
    <x v="1"/>
    <n v="9"/>
    <n v="14"/>
    <n v="14289.6"/>
    <n v="1020.69"/>
    <s v="White"/>
    <x v="7"/>
    <n v="75000"/>
    <s v="Y"/>
    <s v="FD09FCSWHI008"/>
  </r>
  <r>
    <s v="FD13FCS009"/>
    <x v="0"/>
    <x v="0"/>
    <s v="FCS"/>
    <x v="1"/>
    <n v="13"/>
    <n v="10"/>
    <n v="13867.6"/>
    <n v="1386.76"/>
    <s v="Blue"/>
    <x v="8"/>
    <n v="75000"/>
    <s v="Y"/>
    <s v="FD13FCSBLU009"/>
  </r>
  <r>
    <s v="FD13FCS010"/>
    <x v="0"/>
    <x v="0"/>
    <s v="FCS"/>
    <x v="1"/>
    <n v="13"/>
    <n v="10"/>
    <n v="20223.900000000001"/>
    <n v="2022.39"/>
    <s v="Black"/>
    <x v="9"/>
    <n v="75000"/>
    <s v="Y"/>
    <s v="FD13FCSBLA010"/>
  </r>
  <r>
    <s v="FD12FCS011"/>
    <x v="0"/>
    <x v="0"/>
    <s v="FCS"/>
    <x v="1"/>
    <n v="12"/>
    <n v="11"/>
    <n v="30555.3"/>
    <n v="2777.75"/>
    <s v="White"/>
    <x v="6"/>
    <n v="100000"/>
    <s v="Y"/>
    <s v="FD12FCSWHI011"/>
  </r>
  <r>
    <s v="FD13FCS012"/>
    <x v="0"/>
    <x v="0"/>
    <s v="FCS"/>
    <x v="1"/>
    <n v="13"/>
    <n v="10"/>
    <n v="27637.1"/>
    <n v="2763.71"/>
    <s v="Black"/>
    <x v="10"/>
    <n v="100000"/>
    <s v="Y"/>
    <s v="FD13FCSBLA012"/>
  </r>
  <r>
    <s v="FD13FCS013"/>
    <x v="0"/>
    <x v="0"/>
    <s v="FCS"/>
    <x v="1"/>
    <n v="13"/>
    <n v="10"/>
    <n v="13682.9"/>
    <n v="1368.29"/>
    <s v="Green"/>
    <x v="11"/>
    <n v="75000"/>
    <s v="Y"/>
    <s v="FD13FCSGRE013"/>
  </r>
  <r>
    <s v="GM09CMR014"/>
    <x v="1"/>
    <x v="1"/>
    <s v="CMR"/>
    <x v="2"/>
    <n v="9"/>
    <n v="14"/>
    <n v="22521.599999999999"/>
    <n v="1608.69"/>
    <s v="Black"/>
    <x v="8"/>
    <n v="100000"/>
    <s v="Y"/>
    <s v="GM09CMRBLA014"/>
  </r>
  <r>
    <s v="GM12CMR015"/>
    <x v="1"/>
    <x v="1"/>
    <s v="CMR"/>
    <x v="2"/>
    <n v="12"/>
    <n v="11"/>
    <n v="29601.9"/>
    <n v="2691.08"/>
    <s v="Black"/>
    <x v="3"/>
    <n v="100000"/>
    <s v="Y"/>
    <s v="GM12CMRBLA015"/>
  </r>
  <r>
    <s v="GM14CMR016"/>
    <x v="1"/>
    <x v="1"/>
    <s v="CMR"/>
    <x v="2"/>
    <n v="14"/>
    <n v="9"/>
    <n v="27394.2"/>
    <n v="3043.8"/>
    <s v="Blue"/>
    <x v="9"/>
    <n v="75000"/>
    <s v="Y"/>
    <s v="GM14CMRBLU016"/>
  </r>
  <r>
    <s v="GM10SLV017"/>
    <x v="1"/>
    <x v="1"/>
    <s v="SLV"/>
    <x v="3"/>
    <n v="10"/>
    <n v="13"/>
    <n v="35137"/>
    <n v="2702.85"/>
    <s v="Black"/>
    <x v="8"/>
    <n v="100000"/>
    <s v="Y"/>
    <s v="GM10SLVBLA017"/>
  </r>
  <r>
    <s v="GM98SLV018"/>
    <x v="1"/>
    <x v="1"/>
    <s v="SLV"/>
    <x v="3"/>
    <n v="98"/>
    <n v="25"/>
    <n v="24513.200000000001"/>
    <n v="980.53"/>
    <s v="Green"/>
    <x v="12"/>
    <n v="75000"/>
    <s v="Y"/>
    <s v="GM98SLVGRE018"/>
  </r>
  <r>
    <s v="GM00SLV019"/>
    <x v="1"/>
    <x v="1"/>
    <s v="SLV"/>
    <x v="3"/>
    <n v="0"/>
    <n v="23"/>
    <n v="44946.5"/>
    <n v="1954.2"/>
    <s v="Red"/>
    <x v="4"/>
    <n v="100000"/>
    <s v="Y"/>
    <s v="GM00SLVRED019"/>
  </r>
  <r>
    <s v="TY96CAM020"/>
    <x v="2"/>
    <x v="2"/>
    <s v="CAM"/>
    <x v="4"/>
    <n v="96"/>
    <n v="27"/>
    <n v="42504.6"/>
    <n v="1574.24"/>
    <s v="Green"/>
    <x v="12"/>
    <n v="50000"/>
    <s v="Y"/>
    <s v="TY96CAMGRE020"/>
  </r>
  <r>
    <s v="TY98CAM021"/>
    <x v="2"/>
    <x v="2"/>
    <s v="CAM"/>
    <x v="4"/>
    <n v="98"/>
    <n v="25"/>
    <n v="22128.2"/>
    <n v="885.13"/>
    <s v="White"/>
    <x v="7"/>
    <n v="100000"/>
    <s v="Y"/>
    <s v="TY98CAMWHI021"/>
  </r>
  <r>
    <s v="TY00CAM022"/>
    <x v="2"/>
    <x v="2"/>
    <s v="CAM"/>
    <x v="4"/>
    <n v="0"/>
    <n v="23"/>
    <n v="27534.799999999999"/>
    <n v="1197.17"/>
    <s v="Red"/>
    <x v="1"/>
    <n v="75000"/>
    <s v="Y"/>
    <s v="TY00CAMRED022"/>
  </r>
  <r>
    <s v="TY02CAM023"/>
    <x v="2"/>
    <x v="2"/>
    <s v="CAM"/>
    <x v="4"/>
    <n v="2"/>
    <n v="21"/>
    <n v="52229.5"/>
    <n v="2487.12"/>
    <s v="Black"/>
    <x v="8"/>
    <n v="75000"/>
    <s v="Y"/>
    <s v="TY02CAMBLA023"/>
  </r>
  <r>
    <s v="TY09CAM024"/>
    <x v="2"/>
    <x v="2"/>
    <s v="CAM"/>
    <x v="4"/>
    <n v="9"/>
    <n v="14"/>
    <n v="46311.4"/>
    <n v="3307.96"/>
    <s v="White"/>
    <x v="13"/>
    <n v="75000"/>
    <s v="Y"/>
    <s v="TY09CAMWHI024"/>
  </r>
  <r>
    <s v="TY02COR025"/>
    <x v="2"/>
    <x v="2"/>
    <s v="COR"/>
    <x v="5"/>
    <n v="2"/>
    <n v="21"/>
    <n v="52699.4"/>
    <n v="2509.5"/>
    <s v="Green"/>
    <x v="2"/>
    <n v="75000"/>
    <s v="Y"/>
    <s v="TY02CORGRE025"/>
  </r>
  <r>
    <s v="TY03COR026"/>
    <x v="2"/>
    <x v="2"/>
    <s v="COR"/>
    <x v="5"/>
    <n v="3"/>
    <n v="20"/>
    <n v="29102.3"/>
    <n v="1455.12"/>
    <s v="Black"/>
    <x v="10"/>
    <n v="100000"/>
    <s v="Y"/>
    <s v="TY03CORBLA026"/>
  </r>
  <r>
    <s v="TY14COR027"/>
    <x v="2"/>
    <x v="2"/>
    <s v="COR"/>
    <x v="5"/>
    <n v="14"/>
    <n v="9"/>
    <n v="64467.4"/>
    <n v="7163.04"/>
    <s v="White"/>
    <x v="14"/>
    <n v="50000"/>
    <s v="Not Covered"/>
    <s v="TY14CORWHI027"/>
  </r>
  <r>
    <s v="TY12COR028"/>
    <x v="2"/>
    <x v="2"/>
    <s v="COR"/>
    <x v="5"/>
    <n v="12"/>
    <n v="11"/>
    <n v="36438.5"/>
    <n v="3312.59"/>
    <s v="Green"/>
    <x v="4"/>
    <n v="75000"/>
    <s v="Y"/>
    <s v="TY12CORGRE028"/>
  </r>
  <r>
    <s v="TY12CAM029"/>
    <x v="2"/>
    <x v="2"/>
    <s v="CAM"/>
    <x v="4"/>
    <n v="12"/>
    <n v="11"/>
    <n v="48114.2"/>
    <n v="4374.0200000000004"/>
    <s v="Black"/>
    <x v="3"/>
    <n v="75000"/>
    <s v="Y"/>
    <s v="TY12CAMBLA029"/>
  </r>
  <r>
    <s v="HO99CIV030"/>
    <x v="3"/>
    <x v="3"/>
    <s v="CIV"/>
    <x v="6"/>
    <n v="99"/>
    <n v="24"/>
    <n v="31144.400000000001"/>
    <n v="1297.68"/>
    <s v="Black"/>
    <x v="12"/>
    <n v="75000"/>
    <s v="Y"/>
    <s v="HO99CIVBLA030"/>
  </r>
  <r>
    <s v="HO01CIV031"/>
    <x v="3"/>
    <x v="3"/>
    <s v="CIV"/>
    <x v="6"/>
    <n v="1"/>
    <n v="22"/>
    <n v="37558.800000000003"/>
    <n v="1707.22"/>
    <s v="Black"/>
    <x v="6"/>
    <n v="75000"/>
    <s v="Y"/>
    <s v="HO01CIVBLA031"/>
  </r>
  <r>
    <s v="HO10CIV032"/>
    <x v="3"/>
    <x v="3"/>
    <s v="CIV"/>
    <x v="6"/>
    <n v="10"/>
    <n v="13"/>
    <n v="33477.199999999997"/>
    <n v="2575.17"/>
    <s v="Black"/>
    <x v="9"/>
    <n v="50000"/>
    <s v="Y"/>
    <s v="HO10CIVBLA032"/>
  </r>
  <r>
    <s v="HO10CIV033"/>
    <x v="3"/>
    <x v="3"/>
    <s v="CIV"/>
    <x v="6"/>
    <n v="10"/>
    <n v="13"/>
    <n v="28464.799999999999"/>
    <n v="2189.6"/>
    <s v="White"/>
    <x v="8"/>
    <n v="50000"/>
    <s v="Y"/>
    <s v="HO10CIVWHI033"/>
  </r>
  <r>
    <s v="HO11CIV034"/>
    <x v="3"/>
    <x v="3"/>
    <s v="CIV"/>
    <x v="6"/>
    <n v="11"/>
    <n v="12"/>
    <n v="42074.2"/>
    <n v="3506.18"/>
    <s v="Black"/>
    <x v="15"/>
    <n v="100000"/>
    <s v="Y"/>
    <s v="HO11CIVBLA034"/>
  </r>
  <r>
    <s v="HO12CIV035"/>
    <x v="3"/>
    <x v="3"/>
    <s v="CIV"/>
    <x v="6"/>
    <n v="12"/>
    <n v="11"/>
    <n v="40326.800000000003"/>
    <n v="3666.07"/>
    <s v="Black"/>
    <x v="11"/>
    <n v="100000"/>
    <s v="Y"/>
    <s v="HO12CIVBLA035"/>
  </r>
  <r>
    <s v="HO13CIV036"/>
    <x v="3"/>
    <x v="3"/>
    <s v="CIV"/>
    <x v="6"/>
    <n v="13"/>
    <n v="10"/>
    <n v="72527.199999999997"/>
    <n v="7252.72"/>
    <s v="Black"/>
    <x v="8"/>
    <n v="50000"/>
    <s v="Not Covered"/>
    <s v="HO13CIVBLA036"/>
  </r>
  <r>
    <s v="HO05ODY037"/>
    <x v="3"/>
    <x v="3"/>
    <s v="ODY"/>
    <x v="7"/>
    <n v="5"/>
    <n v="18"/>
    <n v="50854.1"/>
    <n v="2825.23"/>
    <s v="Black"/>
    <x v="5"/>
    <n v="75000"/>
    <s v="Y"/>
    <s v="HO05ODYBLA037"/>
  </r>
  <r>
    <s v="HO07ODY038"/>
    <x v="3"/>
    <x v="3"/>
    <s v="ODY"/>
    <x v="7"/>
    <n v="7"/>
    <n v="16"/>
    <n v="80685.8"/>
    <n v="5042.8599999999997"/>
    <s v="Black"/>
    <x v="5"/>
    <n v="75000"/>
    <s v="Not Covered"/>
    <s v="HO07ODYBLA038"/>
  </r>
  <r>
    <s v="HO08ODY039"/>
    <x v="3"/>
    <x v="3"/>
    <s v="ODY"/>
    <x v="7"/>
    <n v="8"/>
    <n v="15"/>
    <n v="67829.100000000006"/>
    <n v="4521.9399999999996"/>
    <s v="Black"/>
    <x v="11"/>
    <n v="75000"/>
    <s v="Y"/>
    <s v="HO08ODYBLA039"/>
  </r>
  <r>
    <s v="HO010ODY040"/>
    <x v="3"/>
    <x v="3"/>
    <s v="0OD"/>
    <x v="8"/>
    <n v="1"/>
    <n v="22"/>
    <n v="73444.399999999994"/>
    <n v="3338.38"/>
    <s v="Blue"/>
    <x v="2"/>
    <n v="100000"/>
    <s v="Y"/>
    <s v="HO010ODBLU040"/>
  </r>
  <r>
    <s v="HO14ODY041"/>
    <x v="3"/>
    <x v="3"/>
    <s v="ODY"/>
    <x v="7"/>
    <n v="14"/>
    <n v="9"/>
    <n v="44974.8"/>
    <n v="4997.2"/>
    <s v="White"/>
    <x v="10"/>
    <n v="100000"/>
    <s v="Y"/>
    <s v="HO14ODYWHI041"/>
  </r>
  <r>
    <s v="CR04PTC042"/>
    <x v="4"/>
    <x v="4"/>
    <s v="PTC"/>
    <x v="9"/>
    <n v="4"/>
    <n v="19"/>
    <n v="68658.899999999994"/>
    <n v="3613.63"/>
    <s v="Blue"/>
    <x v="14"/>
    <n v="100000"/>
    <s v="Y"/>
    <s v="CR04PTCBLU042"/>
  </r>
  <r>
    <s v="CR07PTC043"/>
    <x v="4"/>
    <x v="4"/>
    <s v="PTC"/>
    <x v="9"/>
    <n v="7"/>
    <n v="16"/>
    <n v="60389.5"/>
    <n v="3774.34"/>
    <s v="Black"/>
    <x v="13"/>
    <n v="100000"/>
    <s v="Y"/>
    <s v="CR07PTCBLA043"/>
  </r>
  <r>
    <s v="CR11PTC044"/>
    <x v="4"/>
    <x v="4"/>
    <s v="PTC"/>
    <x v="9"/>
    <n v="11"/>
    <n v="12"/>
    <n v="85928"/>
    <n v="7160.67"/>
    <s v="Blue"/>
    <x v="0"/>
    <n v="100000"/>
    <s v="Y"/>
    <s v="CR11PTCBLU044"/>
  </r>
  <r>
    <s v="CR99CAR045"/>
    <x v="4"/>
    <x v="4"/>
    <s v="CAR"/>
    <x v="10"/>
    <n v="99"/>
    <n v="24"/>
    <n v="82374"/>
    <n v="3432.25"/>
    <s v="Blue"/>
    <x v="13"/>
    <n v="100000"/>
    <s v="Y"/>
    <s v="CR99CARBLU045"/>
  </r>
  <r>
    <s v="CR00CAR046"/>
    <x v="4"/>
    <x v="4"/>
    <s v="CAR"/>
    <x v="10"/>
    <n v="0"/>
    <n v="23"/>
    <n v="93382.6"/>
    <n v="4060.11"/>
    <s v="Black"/>
    <x v="1"/>
    <n v="100000"/>
    <s v="Y"/>
    <s v="CR00CARBLA046"/>
  </r>
  <r>
    <s v="CR04CAR047"/>
    <x v="4"/>
    <x v="4"/>
    <s v="CAR"/>
    <x v="10"/>
    <n v="4"/>
    <n v="19"/>
    <n v="64542"/>
    <n v="3396.95"/>
    <s v="White"/>
    <x v="16"/>
    <n v="75000"/>
    <s v="Y"/>
    <s v="CR04CARWHI047"/>
  </r>
  <r>
    <s v="CR04CAR048"/>
    <x v="4"/>
    <x v="4"/>
    <s v="CAR"/>
    <x v="10"/>
    <n v="4"/>
    <n v="19"/>
    <n v="114660.6"/>
    <n v="6034.77"/>
    <s v="Blue"/>
    <x v="15"/>
    <n v="75000"/>
    <s v="Not Covered"/>
    <s v="CR04CARBLU048"/>
  </r>
  <r>
    <s v="HY11ELA049"/>
    <x v="5"/>
    <x v="5"/>
    <s v="ELA"/>
    <x v="11"/>
    <n v="11"/>
    <n v="12"/>
    <n v="77243.100000000006"/>
    <n v="6436.93"/>
    <s v="White"/>
    <x v="15"/>
    <n v="100000"/>
    <s v="Y"/>
    <s v="HY11ELAWHI049"/>
  </r>
  <r>
    <s v="HY12ELA050"/>
    <x v="5"/>
    <x v="5"/>
    <s v="ELA"/>
    <x v="11"/>
    <n v="12"/>
    <n v="11"/>
    <n v="69891.899999999994"/>
    <n v="6353.81"/>
    <s v="Black"/>
    <x v="0"/>
    <n v="75000"/>
    <s v="Y"/>
    <s v="HY12ELABLA050"/>
  </r>
  <r>
    <s v="HY13ELA051"/>
    <x v="5"/>
    <x v="5"/>
    <s v="ELA"/>
    <x v="11"/>
    <n v="13"/>
    <n v="10"/>
    <n v="79420.600000000006"/>
    <n v="7942.06"/>
    <s v="Black"/>
    <x v="7"/>
    <n v="75000"/>
    <s v="Not Covered"/>
    <s v="HY13ELABLA051"/>
  </r>
  <r>
    <s v="HY13ELA052"/>
    <x v="5"/>
    <x v="5"/>
    <s v="ELA"/>
    <x v="11"/>
    <n v="13"/>
    <n v="10"/>
    <n v="83162.7"/>
    <n v="8316.27"/>
    <s v="Black"/>
    <x v="14"/>
    <n v="100000"/>
    <s v="Y"/>
    <s v="HY13ELABLA0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E74DF4-0374-4511-907B-1F799301DC6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4">
  <location ref="A3:B10" firstHeaderRow="1" firstDataRow="1" firstDataCol="1"/>
  <pivotFields count="14">
    <pivotField showAll="0"/>
    <pivotField showAll="0">
      <items count="7">
        <item h="1" x="4"/>
        <item h="1" x="0"/>
        <item h="1" x="1"/>
        <item h="1" x="3"/>
        <item h="1" x="5"/>
        <item x="2"/>
        <item t="default"/>
      </items>
    </pivotField>
    <pivotField axis="axisRow" showAll="0">
      <items count="7">
        <item x="4"/>
        <item x="0"/>
        <item x="1"/>
        <item x="3"/>
        <item x="5"/>
        <item x="2"/>
        <item t="default"/>
      </items>
    </pivotField>
    <pivotField showAll="0"/>
    <pivotField dataField="1" showAll="0">
      <items count="13">
        <item x="2"/>
        <item x="4"/>
        <item x="10"/>
        <item x="6"/>
        <item x="5"/>
        <item x="11"/>
        <item x="1"/>
        <item x="0"/>
        <item x="7"/>
        <item x="9"/>
        <item x="3"/>
        <item x="8"/>
        <item t="default"/>
      </items>
    </pivotField>
    <pivotField showAll="0"/>
    <pivotField showAll="0"/>
    <pivotField numFmtId="4" showAll="0"/>
    <pivotField showAll="0"/>
    <pivotField showAll="0"/>
    <pivotField showAll="0">
      <items count="18">
        <item x="1"/>
        <item x="0"/>
        <item x="2"/>
        <item x="4"/>
        <item x="6"/>
        <item x="11"/>
        <item x="9"/>
        <item x="12"/>
        <item x="14"/>
        <item x="13"/>
        <item x="7"/>
        <item x="10"/>
        <item x="8"/>
        <item x="3"/>
        <item x="15"/>
        <item x="5"/>
        <item x="16"/>
        <item t="default"/>
      </items>
    </pivotField>
    <pivotField numFmtId="4"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Model (Full Name)" fld="4" subtotal="count" baseField="0" baseItem="0"/>
  </dataFields>
  <chartFormats count="9">
    <chartFormat chart="3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3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3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3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3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83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83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5"/>
  <sheetViews>
    <sheetView tabSelected="1" workbookViewId="0">
      <selection activeCell="F108" sqref="F108"/>
    </sheetView>
  </sheetViews>
  <sheetFormatPr defaultRowHeight="14.4" x14ac:dyDescent="0.3"/>
  <cols>
    <col min="1" max="1" width="13.21875" bestFit="1" customWidth="1"/>
    <col min="3" max="3" width="16.77734375" bestFit="1" customWidth="1"/>
    <col min="5" max="5" width="16" bestFit="1" customWidth="1"/>
    <col min="6" max="6" width="15.77734375" bestFit="1" customWidth="1"/>
    <col min="9" max="9" width="10.6640625" bestFit="1" customWidth="1"/>
    <col min="10" max="10" width="9.44140625" customWidth="1"/>
    <col min="12" max="12" width="14" bestFit="1" customWidth="1"/>
    <col min="13" max="13" width="20" customWidth="1"/>
    <col min="14" max="14" width="16.21875" bestFit="1" customWidth="1"/>
  </cols>
  <sheetData>
    <row r="1" spans="1:14" ht="23.4" x14ac:dyDescent="0.45">
      <c r="A1" s="5" t="s">
        <v>180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>
        <v>6</v>
      </c>
      <c r="G3">
        <v>17</v>
      </c>
      <c r="H3" s="1">
        <v>3708.1</v>
      </c>
      <c r="I3">
        <v>218.12</v>
      </c>
      <c r="J3" t="s">
        <v>19</v>
      </c>
      <c r="K3" t="s">
        <v>20</v>
      </c>
      <c r="L3" s="1">
        <v>100000</v>
      </c>
      <c r="M3" t="s">
        <v>21</v>
      </c>
      <c r="N3" t="s">
        <v>22</v>
      </c>
    </row>
    <row r="4" spans="1:14" x14ac:dyDescent="0.3">
      <c r="A4" t="s">
        <v>23</v>
      </c>
      <c r="B4" t="s">
        <v>15</v>
      </c>
      <c r="C4" t="s">
        <v>16</v>
      </c>
      <c r="D4" t="s">
        <v>17</v>
      </c>
      <c r="E4" t="s">
        <v>18</v>
      </c>
      <c r="F4">
        <v>6</v>
      </c>
      <c r="G4">
        <v>17</v>
      </c>
      <c r="H4" s="1">
        <v>17556.3</v>
      </c>
      <c r="I4" s="1">
        <v>1032.72</v>
      </c>
      <c r="J4" t="s">
        <v>24</v>
      </c>
      <c r="K4" t="s">
        <v>25</v>
      </c>
      <c r="L4" s="1">
        <v>75000</v>
      </c>
      <c r="M4" t="s">
        <v>21</v>
      </c>
      <c r="N4" t="s">
        <v>26</v>
      </c>
    </row>
    <row r="5" spans="1:14" x14ac:dyDescent="0.3">
      <c r="A5" t="s">
        <v>27</v>
      </c>
      <c r="B5" t="s">
        <v>15</v>
      </c>
      <c r="C5" t="s">
        <v>16</v>
      </c>
      <c r="D5" t="s">
        <v>17</v>
      </c>
      <c r="E5" t="s">
        <v>18</v>
      </c>
      <c r="F5">
        <v>8</v>
      </c>
      <c r="G5">
        <v>15</v>
      </c>
      <c r="H5" s="1">
        <v>19421.099999999999</v>
      </c>
      <c r="I5" s="1">
        <v>1294.74</v>
      </c>
      <c r="J5" t="s">
        <v>19</v>
      </c>
      <c r="K5" t="s">
        <v>28</v>
      </c>
      <c r="L5" s="1">
        <v>100000</v>
      </c>
      <c r="M5" t="s">
        <v>21</v>
      </c>
      <c r="N5" t="s">
        <v>29</v>
      </c>
    </row>
    <row r="6" spans="1:14" x14ac:dyDescent="0.3">
      <c r="A6" t="s">
        <v>30</v>
      </c>
      <c r="B6" t="s">
        <v>15</v>
      </c>
      <c r="C6" t="s">
        <v>16</v>
      </c>
      <c r="D6" t="s">
        <v>17</v>
      </c>
      <c r="E6" t="s">
        <v>18</v>
      </c>
      <c r="F6">
        <v>8</v>
      </c>
      <c r="G6">
        <v>15</v>
      </c>
      <c r="H6" s="1">
        <v>22188.5</v>
      </c>
      <c r="I6" s="1">
        <v>1479.23</v>
      </c>
      <c r="J6" t="s">
        <v>31</v>
      </c>
      <c r="K6" t="s">
        <v>32</v>
      </c>
      <c r="L6" s="1">
        <v>100000</v>
      </c>
      <c r="M6" t="s">
        <v>21</v>
      </c>
      <c r="N6" t="s">
        <v>33</v>
      </c>
    </row>
    <row r="7" spans="1:14" x14ac:dyDescent="0.3">
      <c r="A7" t="s">
        <v>34</v>
      </c>
      <c r="B7" t="s">
        <v>15</v>
      </c>
      <c r="C7" t="s">
        <v>16</v>
      </c>
      <c r="D7" t="s">
        <v>17</v>
      </c>
      <c r="E7" t="s">
        <v>18</v>
      </c>
      <c r="F7">
        <v>8</v>
      </c>
      <c r="G7">
        <v>15</v>
      </c>
      <c r="H7" s="1">
        <v>19341.7</v>
      </c>
      <c r="I7" s="1">
        <v>1289.45</v>
      </c>
      <c r="J7" t="s">
        <v>31</v>
      </c>
      <c r="K7" t="s">
        <v>35</v>
      </c>
      <c r="L7" s="1">
        <v>100000</v>
      </c>
      <c r="M7" t="s">
        <v>21</v>
      </c>
      <c r="N7" t="s">
        <v>36</v>
      </c>
    </row>
    <row r="8" spans="1:14" x14ac:dyDescent="0.3">
      <c r="A8" t="s">
        <v>37</v>
      </c>
      <c r="B8" t="s">
        <v>15</v>
      </c>
      <c r="C8" t="s">
        <v>16</v>
      </c>
      <c r="D8" t="s">
        <v>38</v>
      </c>
      <c r="E8" t="s">
        <v>39</v>
      </c>
      <c r="F8">
        <v>6</v>
      </c>
      <c r="G8">
        <v>17</v>
      </c>
      <c r="H8" s="1">
        <v>22282</v>
      </c>
      <c r="I8" s="1">
        <v>1310.71</v>
      </c>
      <c r="J8" t="s">
        <v>40</v>
      </c>
      <c r="K8" t="s">
        <v>41</v>
      </c>
      <c r="L8" s="1">
        <v>100000</v>
      </c>
      <c r="M8" t="s">
        <v>21</v>
      </c>
      <c r="N8" t="s">
        <v>42</v>
      </c>
    </row>
    <row r="9" spans="1:14" x14ac:dyDescent="0.3">
      <c r="A9" t="s">
        <v>43</v>
      </c>
      <c r="B9" t="s">
        <v>15</v>
      </c>
      <c r="C9" t="s">
        <v>16</v>
      </c>
      <c r="D9" t="s">
        <v>38</v>
      </c>
      <c r="E9" t="s">
        <v>39</v>
      </c>
      <c r="F9">
        <v>6</v>
      </c>
      <c r="G9">
        <v>17</v>
      </c>
      <c r="H9" s="1">
        <v>22573</v>
      </c>
      <c r="I9" s="1">
        <v>1327.82</v>
      </c>
      <c r="J9" t="s">
        <v>24</v>
      </c>
      <c r="K9" t="s">
        <v>44</v>
      </c>
      <c r="L9" s="1">
        <v>100000</v>
      </c>
      <c r="M9" t="s">
        <v>21</v>
      </c>
      <c r="N9" t="s">
        <v>45</v>
      </c>
    </row>
    <row r="10" spans="1:14" x14ac:dyDescent="0.3">
      <c r="A10" t="s">
        <v>46</v>
      </c>
      <c r="B10" t="s">
        <v>15</v>
      </c>
      <c r="C10" t="s">
        <v>16</v>
      </c>
      <c r="D10" t="s">
        <v>38</v>
      </c>
      <c r="E10" t="s">
        <v>39</v>
      </c>
      <c r="F10">
        <v>9</v>
      </c>
      <c r="G10">
        <v>14</v>
      </c>
      <c r="H10" s="1">
        <v>14289.6</v>
      </c>
      <c r="I10" s="1">
        <v>1020.69</v>
      </c>
      <c r="J10" t="s">
        <v>24</v>
      </c>
      <c r="K10" t="s">
        <v>47</v>
      </c>
      <c r="L10" s="1">
        <v>75000</v>
      </c>
      <c r="M10" t="s">
        <v>21</v>
      </c>
      <c r="N10" t="s">
        <v>48</v>
      </c>
    </row>
    <row r="11" spans="1:14" x14ac:dyDescent="0.3">
      <c r="A11" t="s">
        <v>49</v>
      </c>
      <c r="B11" t="s">
        <v>15</v>
      </c>
      <c r="C11" t="s">
        <v>16</v>
      </c>
      <c r="D11" t="s">
        <v>38</v>
      </c>
      <c r="E11" t="s">
        <v>39</v>
      </c>
      <c r="F11">
        <v>13</v>
      </c>
      <c r="G11">
        <v>10</v>
      </c>
      <c r="H11" s="1">
        <v>13867.6</v>
      </c>
      <c r="I11" s="1">
        <v>1386.76</v>
      </c>
      <c r="J11" t="s">
        <v>40</v>
      </c>
      <c r="K11" t="s">
        <v>50</v>
      </c>
      <c r="L11" s="1">
        <v>75000</v>
      </c>
      <c r="M11" t="s">
        <v>21</v>
      </c>
      <c r="N11" t="s">
        <v>51</v>
      </c>
    </row>
    <row r="12" spans="1:14" x14ac:dyDescent="0.3">
      <c r="A12" t="s">
        <v>52</v>
      </c>
      <c r="B12" t="s">
        <v>15</v>
      </c>
      <c r="C12" t="s">
        <v>16</v>
      </c>
      <c r="D12" t="s">
        <v>38</v>
      </c>
      <c r="E12" t="s">
        <v>39</v>
      </c>
      <c r="F12">
        <v>13</v>
      </c>
      <c r="G12">
        <v>10</v>
      </c>
      <c r="H12" s="1">
        <v>20223.900000000001</v>
      </c>
      <c r="I12" s="1">
        <v>2022.39</v>
      </c>
      <c r="J12" t="s">
        <v>31</v>
      </c>
      <c r="K12" t="s">
        <v>53</v>
      </c>
      <c r="L12" s="1">
        <v>75000</v>
      </c>
      <c r="M12" t="s">
        <v>21</v>
      </c>
      <c r="N12" t="s">
        <v>54</v>
      </c>
    </row>
    <row r="13" spans="1:14" x14ac:dyDescent="0.3">
      <c r="A13" t="s">
        <v>55</v>
      </c>
      <c r="B13" t="s">
        <v>15</v>
      </c>
      <c r="C13" t="s">
        <v>16</v>
      </c>
      <c r="D13" t="s">
        <v>38</v>
      </c>
      <c r="E13" t="s">
        <v>39</v>
      </c>
      <c r="F13">
        <v>12</v>
      </c>
      <c r="G13">
        <v>11</v>
      </c>
      <c r="H13" s="1">
        <v>30555.3</v>
      </c>
      <c r="I13" s="1">
        <v>2777.75</v>
      </c>
      <c r="J13" t="s">
        <v>24</v>
      </c>
      <c r="K13" t="s">
        <v>44</v>
      </c>
      <c r="L13" s="1">
        <v>100000</v>
      </c>
      <c r="M13" t="s">
        <v>21</v>
      </c>
      <c r="N13" t="s">
        <v>56</v>
      </c>
    </row>
    <row r="14" spans="1:14" x14ac:dyDescent="0.3">
      <c r="A14" t="s">
        <v>57</v>
      </c>
      <c r="B14" t="s">
        <v>15</v>
      </c>
      <c r="C14" t="s">
        <v>16</v>
      </c>
      <c r="D14" t="s">
        <v>38</v>
      </c>
      <c r="E14" t="s">
        <v>39</v>
      </c>
      <c r="F14">
        <v>13</v>
      </c>
      <c r="G14">
        <v>10</v>
      </c>
      <c r="H14" s="1">
        <v>27637.1</v>
      </c>
      <c r="I14" s="1">
        <v>2763.71</v>
      </c>
      <c r="J14" t="s">
        <v>31</v>
      </c>
      <c r="K14" t="s">
        <v>58</v>
      </c>
      <c r="L14" s="1">
        <v>100000</v>
      </c>
      <c r="M14" t="s">
        <v>21</v>
      </c>
      <c r="N14" t="s">
        <v>59</v>
      </c>
    </row>
    <row r="15" spans="1:14" x14ac:dyDescent="0.3">
      <c r="A15" t="s">
        <v>60</v>
      </c>
      <c r="B15" t="s">
        <v>15</v>
      </c>
      <c r="C15" t="s">
        <v>16</v>
      </c>
      <c r="D15" t="s">
        <v>38</v>
      </c>
      <c r="E15" t="s">
        <v>39</v>
      </c>
      <c r="F15">
        <v>13</v>
      </c>
      <c r="G15">
        <v>10</v>
      </c>
      <c r="H15" s="1">
        <v>13682.9</v>
      </c>
      <c r="I15" s="1">
        <v>1368.29</v>
      </c>
      <c r="J15" t="s">
        <v>19</v>
      </c>
      <c r="K15" t="s">
        <v>61</v>
      </c>
      <c r="L15" s="1">
        <v>75000</v>
      </c>
      <c r="M15" t="s">
        <v>21</v>
      </c>
      <c r="N15" t="s">
        <v>62</v>
      </c>
    </row>
    <row r="16" spans="1:14" x14ac:dyDescent="0.3">
      <c r="A16" t="s">
        <v>63</v>
      </c>
      <c r="B16" t="s">
        <v>64</v>
      </c>
      <c r="C16" t="s">
        <v>65</v>
      </c>
      <c r="D16" t="s">
        <v>66</v>
      </c>
      <c r="E16" t="s">
        <v>67</v>
      </c>
      <c r="F16">
        <v>9</v>
      </c>
      <c r="G16">
        <v>14</v>
      </c>
      <c r="H16" s="1">
        <v>22521.599999999999</v>
      </c>
      <c r="I16" s="1">
        <v>1608.69</v>
      </c>
      <c r="J16" t="s">
        <v>31</v>
      </c>
      <c r="K16" t="s">
        <v>50</v>
      </c>
      <c r="L16" s="1">
        <v>100000</v>
      </c>
      <c r="M16" t="s">
        <v>21</v>
      </c>
      <c r="N16" t="s">
        <v>68</v>
      </c>
    </row>
    <row r="17" spans="1:14" x14ac:dyDescent="0.3">
      <c r="A17" t="s">
        <v>69</v>
      </c>
      <c r="B17" t="s">
        <v>64</v>
      </c>
      <c r="C17" t="s">
        <v>65</v>
      </c>
      <c r="D17" t="s">
        <v>66</v>
      </c>
      <c r="E17" t="s">
        <v>67</v>
      </c>
      <c r="F17">
        <v>12</v>
      </c>
      <c r="G17">
        <v>11</v>
      </c>
      <c r="H17" s="1">
        <v>29601.9</v>
      </c>
      <c r="I17" s="1">
        <v>2691.08</v>
      </c>
      <c r="J17" t="s">
        <v>31</v>
      </c>
      <c r="K17" t="s">
        <v>32</v>
      </c>
      <c r="L17" s="1">
        <v>100000</v>
      </c>
      <c r="M17" t="s">
        <v>21</v>
      </c>
      <c r="N17" t="s">
        <v>70</v>
      </c>
    </row>
    <row r="18" spans="1:14" x14ac:dyDescent="0.3">
      <c r="A18" t="s">
        <v>71</v>
      </c>
      <c r="B18" t="s">
        <v>64</v>
      </c>
      <c r="C18" t="s">
        <v>65</v>
      </c>
      <c r="D18" t="s">
        <v>66</v>
      </c>
      <c r="E18" t="s">
        <v>67</v>
      </c>
      <c r="F18">
        <v>14</v>
      </c>
      <c r="G18">
        <v>9</v>
      </c>
      <c r="H18" s="1">
        <v>27394.2</v>
      </c>
      <c r="I18" s="1">
        <v>3043.8</v>
      </c>
      <c r="J18" t="s">
        <v>40</v>
      </c>
      <c r="K18" t="s">
        <v>53</v>
      </c>
      <c r="L18" s="1">
        <v>75000</v>
      </c>
      <c r="M18" t="s">
        <v>21</v>
      </c>
      <c r="N18" t="s">
        <v>72</v>
      </c>
    </row>
    <row r="19" spans="1:14" x14ac:dyDescent="0.3">
      <c r="A19" t="s">
        <v>73</v>
      </c>
      <c r="B19" t="s">
        <v>64</v>
      </c>
      <c r="C19" t="s">
        <v>65</v>
      </c>
      <c r="D19" t="s">
        <v>74</v>
      </c>
      <c r="E19" t="s">
        <v>75</v>
      </c>
      <c r="F19">
        <v>10</v>
      </c>
      <c r="G19">
        <v>13</v>
      </c>
      <c r="H19" s="1">
        <v>35137</v>
      </c>
      <c r="I19" s="1">
        <v>2702.85</v>
      </c>
      <c r="J19" t="s">
        <v>31</v>
      </c>
      <c r="K19" t="s">
        <v>50</v>
      </c>
      <c r="L19" s="1">
        <v>100000</v>
      </c>
      <c r="M19" t="s">
        <v>21</v>
      </c>
      <c r="N19" t="s">
        <v>76</v>
      </c>
    </row>
    <row r="20" spans="1:14" x14ac:dyDescent="0.3">
      <c r="A20" t="s">
        <v>77</v>
      </c>
      <c r="B20" t="s">
        <v>64</v>
      </c>
      <c r="C20" t="s">
        <v>65</v>
      </c>
      <c r="D20" t="s">
        <v>74</v>
      </c>
      <c r="E20" t="s">
        <v>75</v>
      </c>
      <c r="F20">
        <v>98</v>
      </c>
      <c r="G20">
        <v>25</v>
      </c>
      <c r="H20" s="1">
        <v>24513.200000000001</v>
      </c>
      <c r="I20">
        <v>980.53</v>
      </c>
      <c r="J20" t="s">
        <v>19</v>
      </c>
      <c r="K20" t="s">
        <v>78</v>
      </c>
      <c r="L20" s="1">
        <v>75000</v>
      </c>
      <c r="M20" t="s">
        <v>21</v>
      </c>
      <c r="N20" t="s">
        <v>79</v>
      </c>
    </row>
    <row r="21" spans="1:14" x14ac:dyDescent="0.3">
      <c r="A21" t="s">
        <v>80</v>
      </c>
      <c r="B21" t="s">
        <v>64</v>
      </c>
      <c r="C21" t="s">
        <v>65</v>
      </c>
      <c r="D21" t="s">
        <v>74</v>
      </c>
      <c r="E21" t="s">
        <v>75</v>
      </c>
      <c r="F21">
        <v>0</v>
      </c>
      <c r="G21">
        <v>23</v>
      </c>
      <c r="H21" s="1">
        <v>44946.5</v>
      </c>
      <c r="I21" s="1">
        <v>1954.2</v>
      </c>
      <c r="J21" t="s">
        <v>81</v>
      </c>
      <c r="K21" t="s">
        <v>35</v>
      </c>
      <c r="L21" s="1">
        <v>100000</v>
      </c>
      <c r="M21" t="s">
        <v>21</v>
      </c>
      <c r="N21" t="s">
        <v>82</v>
      </c>
    </row>
    <row r="22" spans="1:14" x14ac:dyDescent="0.3">
      <c r="A22" t="s">
        <v>83</v>
      </c>
      <c r="B22" t="s">
        <v>84</v>
      </c>
      <c r="C22" t="s">
        <v>85</v>
      </c>
      <c r="D22" t="s">
        <v>86</v>
      </c>
      <c r="E22" t="s">
        <v>87</v>
      </c>
      <c r="F22">
        <v>96</v>
      </c>
      <c r="G22">
        <v>27</v>
      </c>
      <c r="H22" s="1">
        <v>42504.6</v>
      </c>
      <c r="I22" s="1">
        <v>1574.24</v>
      </c>
      <c r="J22" t="s">
        <v>19</v>
      </c>
      <c r="K22" t="s">
        <v>78</v>
      </c>
      <c r="L22" s="1">
        <v>50000</v>
      </c>
      <c r="M22" t="s">
        <v>21</v>
      </c>
      <c r="N22" t="s">
        <v>88</v>
      </c>
    </row>
    <row r="23" spans="1:14" x14ac:dyDescent="0.3">
      <c r="A23" t="s">
        <v>89</v>
      </c>
      <c r="B23" t="s">
        <v>84</v>
      </c>
      <c r="C23" t="s">
        <v>85</v>
      </c>
      <c r="D23" t="s">
        <v>86</v>
      </c>
      <c r="E23" t="s">
        <v>87</v>
      </c>
      <c r="F23">
        <v>98</v>
      </c>
      <c r="G23">
        <v>25</v>
      </c>
      <c r="H23" s="1">
        <v>22128.2</v>
      </c>
      <c r="I23">
        <v>885.13</v>
      </c>
      <c r="J23" t="s">
        <v>24</v>
      </c>
      <c r="K23" t="s">
        <v>47</v>
      </c>
      <c r="L23" s="1">
        <v>100000</v>
      </c>
      <c r="M23" t="s">
        <v>21</v>
      </c>
      <c r="N23" t="s">
        <v>90</v>
      </c>
    </row>
    <row r="24" spans="1:14" x14ac:dyDescent="0.3">
      <c r="A24" t="s">
        <v>91</v>
      </c>
      <c r="B24" t="s">
        <v>84</v>
      </c>
      <c r="C24" t="s">
        <v>85</v>
      </c>
      <c r="D24" t="s">
        <v>86</v>
      </c>
      <c r="E24" t="s">
        <v>87</v>
      </c>
      <c r="F24">
        <v>0</v>
      </c>
      <c r="G24">
        <v>23</v>
      </c>
      <c r="H24" s="1">
        <v>27534.799999999999</v>
      </c>
      <c r="I24" s="1">
        <v>1197.17</v>
      </c>
      <c r="J24" t="s">
        <v>81</v>
      </c>
      <c r="K24" t="s">
        <v>25</v>
      </c>
      <c r="L24" s="1">
        <v>75000</v>
      </c>
      <c r="M24" t="s">
        <v>21</v>
      </c>
      <c r="N24" t="s">
        <v>92</v>
      </c>
    </row>
    <row r="25" spans="1:14" x14ac:dyDescent="0.3">
      <c r="A25" t="s">
        <v>93</v>
      </c>
      <c r="B25" t="s">
        <v>84</v>
      </c>
      <c r="C25" t="s">
        <v>85</v>
      </c>
      <c r="D25" t="s">
        <v>86</v>
      </c>
      <c r="E25" t="s">
        <v>87</v>
      </c>
      <c r="F25">
        <v>2</v>
      </c>
      <c r="G25">
        <v>21</v>
      </c>
      <c r="H25" s="1">
        <v>52229.5</v>
      </c>
      <c r="I25" s="1">
        <v>2487.12</v>
      </c>
      <c r="J25" t="s">
        <v>31</v>
      </c>
      <c r="K25" t="s">
        <v>50</v>
      </c>
      <c r="L25" s="1">
        <v>75000</v>
      </c>
      <c r="M25" t="s">
        <v>21</v>
      </c>
      <c r="N25" t="s">
        <v>94</v>
      </c>
    </row>
    <row r="26" spans="1:14" x14ac:dyDescent="0.3">
      <c r="A26" t="s">
        <v>95</v>
      </c>
      <c r="B26" t="s">
        <v>84</v>
      </c>
      <c r="C26" t="s">
        <v>85</v>
      </c>
      <c r="D26" t="s">
        <v>86</v>
      </c>
      <c r="E26" t="s">
        <v>87</v>
      </c>
      <c r="F26">
        <v>9</v>
      </c>
      <c r="G26">
        <v>14</v>
      </c>
      <c r="H26" s="1">
        <v>46311.4</v>
      </c>
      <c r="I26" s="1">
        <v>3307.96</v>
      </c>
      <c r="J26" t="s">
        <v>24</v>
      </c>
      <c r="K26" t="s">
        <v>96</v>
      </c>
      <c r="L26" s="1">
        <v>75000</v>
      </c>
      <c r="M26" t="s">
        <v>21</v>
      </c>
      <c r="N26" t="s">
        <v>97</v>
      </c>
    </row>
    <row r="27" spans="1:14" x14ac:dyDescent="0.3">
      <c r="A27" t="s">
        <v>98</v>
      </c>
      <c r="B27" t="s">
        <v>84</v>
      </c>
      <c r="C27" t="s">
        <v>85</v>
      </c>
      <c r="D27" t="s">
        <v>99</v>
      </c>
      <c r="E27" t="s">
        <v>100</v>
      </c>
      <c r="F27">
        <v>2</v>
      </c>
      <c r="G27">
        <v>21</v>
      </c>
      <c r="H27" s="1">
        <v>52699.4</v>
      </c>
      <c r="I27" s="1">
        <v>2509.5</v>
      </c>
      <c r="J27" t="s">
        <v>19</v>
      </c>
      <c r="K27" t="s">
        <v>28</v>
      </c>
      <c r="L27" s="1">
        <v>75000</v>
      </c>
      <c r="M27" t="s">
        <v>21</v>
      </c>
      <c r="N27" t="s">
        <v>101</v>
      </c>
    </row>
    <row r="28" spans="1:14" x14ac:dyDescent="0.3">
      <c r="A28" t="s">
        <v>102</v>
      </c>
      <c r="B28" t="s">
        <v>84</v>
      </c>
      <c r="C28" t="s">
        <v>85</v>
      </c>
      <c r="D28" t="s">
        <v>99</v>
      </c>
      <c r="E28" t="s">
        <v>100</v>
      </c>
      <c r="F28">
        <v>3</v>
      </c>
      <c r="G28">
        <v>20</v>
      </c>
      <c r="H28" s="1">
        <v>29102.3</v>
      </c>
      <c r="I28" s="1">
        <v>1455.12</v>
      </c>
      <c r="J28" t="s">
        <v>31</v>
      </c>
      <c r="K28" t="s">
        <v>58</v>
      </c>
      <c r="L28" s="1">
        <v>100000</v>
      </c>
      <c r="M28" t="s">
        <v>21</v>
      </c>
      <c r="N28" t="s">
        <v>103</v>
      </c>
    </row>
    <row r="29" spans="1:14" x14ac:dyDescent="0.3">
      <c r="A29" t="s">
        <v>104</v>
      </c>
      <c r="B29" t="s">
        <v>84</v>
      </c>
      <c r="C29" t="s">
        <v>85</v>
      </c>
      <c r="D29" t="s">
        <v>99</v>
      </c>
      <c r="E29" t="s">
        <v>100</v>
      </c>
      <c r="F29">
        <v>14</v>
      </c>
      <c r="G29">
        <v>9</v>
      </c>
      <c r="H29" s="1">
        <v>64467.4</v>
      </c>
      <c r="I29" s="1">
        <v>7163.04</v>
      </c>
      <c r="J29" t="s">
        <v>24</v>
      </c>
      <c r="K29" t="s">
        <v>105</v>
      </c>
      <c r="L29" s="1">
        <v>50000</v>
      </c>
      <c r="M29" t="s">
        <v>106</v>
      </c>
      <c r="N29" t="s">
        <v>107</v>
      </c>
    </row>
    <row r="30" spans="1:14" x14ac:dyDescent="0.3">
      <c r="A30" t="s">
        <v>108</v>
      </c>
      <c r="B30" t="s">
        <v>84</v>
      </c>
      <c r="C30" t="s">
        <v>85</v>
      </c>
      <c r="D30" t="s">
        <v>99</v>
      </c>
      <c r="E30" t="s">
        <v>100</v>
      </c>
      <c r="F30">
        <v>12</v>
      </c>
      <c r="G30">
        <v>11</v>
      </c>
      <c r="H30" s="1">
        <v>36438.5</v>
      </c>
      <c r="I30" s="1">
        <v>3312.59</v>
      </c>
      <c r="J30" t="s">
        <v>19</v>
      </c>
      <c r="K30" t="s">
        <v>35</v>
      </c>
      <c r="L30" s="1">
        <v>75000</v>
      </c>
      <c r="M30" t="s">
        <v>21</v>
      </c>
      <c r="N30" t="s">
        <v>109</v>
      </c>
    </row>
    <row r="31" spans="1:14" x14ac:dyDescent="0.3">
      <c r="A31" t="s">
        <v>110</v>
      </c>
      <c r="B31" t="s">
        <v>84</v>
      </c>
      <c r="C31" t="s">
        <v>85</v>
      </c>
      <c r="D31" t="s">
        <v>86</v>
      </c>
      <c r="E31" t="s">
        <v>87</v>
      </c>
      <c r="F31">
        <v>12</v>
      </c>
      <c r="G31">
        <v>11</v>
      </c>
      <c r="H31" s="1">
        <v>48114.2</v>
      </c>
      <c r="I31" s="1">
        <v>4374.0200000000004</v>
      </c>
      <c r="J31" t="s">
        <v>31</v>
      </c>
      <c r="K31" t="s">
        <v>32</v>
      </c>
      <c r="L31" s="1">
        <v>75000</v>
      </c>
      <c r="M31" t="s">
        <v>21</v>
      </c>
      <c r="N31" t="s">
        <v>111</v>
      </c>
    </row>
    <row r="32" spans="1:14" x14ac:dyDescent="0.3">
      <c r="A32" t="s">
        <v>112</v>
      </c>
      <c r="B32" t="s">
        <v>113</v>
      </c>
      <c r="C32" t="s">
        <v>114</v>
      </c>
      <c r="D32" t="s">
        <v>115</v>
      </c>
      <c r="E32" t="s">
        <v>116</v>
      </c>
      <c r="F32">
        <v>99</v>
      </c>
      <c r="G32">
        <v>24</v>
      </c>
      <c r="H32" s="1">
        <v>31144.400000000001</v>
      </c>
      <c r="I32" s="1">
        <v>1297.68</v>
      </c>
      <c r="J32" t="s">
        <v>31</v>
      </c>
      <c r="K32" t="s">
        <v>78</v>
      </c>
      <c r="L32" s="1">
        <v>75000</v>
      </c>
      <c r="M32" t="s">
        <v>21</v>
      </c>
      <c r="N32" t="s">
        <v>117</v>
      </c>
    </row>
    <row r="33" spans="1:14" x14ac:dyDescent="0.3">
      <c r="A33" t="s">
        <v>118</v>
      </c>
      <c r="B33" t="s">
        <v>113</v>
      </c>
      <c r="C33" t="s">
        <v>114</v>
      </c>
      <c r="D33" t="s">
        <v>115</v>
      </c>
      <c r="E33" t="s">
        <v>116</v>
      </c>
      <c r="F33">
        <v>1</v>
      </c>
      <c r="G33">
        <v>22</v>
      </c>
      <c r="H33" s="1">
        <v>37558.800000000003</v>
      </c>
      <c r="I33" s="1">
        <v>1707.22</v>
      </c>
      <c r="J33" t="s">
        <v>31</v>
      </c>
      <c r="K33" t="s">
        <v>44</v>
      </c>
      <c r="L33" s="1">
        <v>75000</v>
      </c>
      <c r="M33" t="s">
        <v>21</v>
      </c>
      <c r="N33" t="s">
        <v>119</v>
      </c>
    </row>
    <row r="34" spans="1:14" x14ac:dyDescent="0.3">
      <c r="A34" t="s">
        <v>120</v>
      </c>
      <c r="B34" t="s">
        <v>113</v>
      </c>
      <c r="C34" t="s">
        <v>114</v>
      </c>
      <c r="D34" t="s">
        <v>115</v>
      </c>
      <c r="E34" t="s">
        <v>116</v>
      </c>
      <c r="F34">
        <v>10</v>
      </c>
      <c r="G34">
        <v>13</v>
      </c>
      <c r="H34" s="1">
        <v>33477.199999999997</v>
      </c>
      <c r="I34" s="1">
        <v>2575.17</v>
      </c>
      <c r="J34" t="s">
        <v>31</v>
      </c>
      <c r="K34" t="s">
        <v>53</v>
      </c>
      <c r="L34" s="1">
        <v>50000</v>
      </c>
      <c r="M34" t="s">
        <v>21</v>
      </c>
      <c r="N34" t="s">
        <v>121</v>
      </c>
    </row>
    <row r="35" spans="1:14" x14ac:dyDescent="0.3">
      <c r="A35" t="s">
        <v>122</v>
      </c>
      <c r="B35" t="s">
        <v>113</v>
      </c>
      <c r="C35" t="s">
        <v>114</v>
      </c>
      <c r="D35" t="s">
        <v>115</v>
      </c>
      <c r="E35" t="s">
        <v>116</v>
      </c>
      <c r="F35">
        <v>10</v>
      </c>
      <c r="G35">
        <v>13</v>
      </c>
      <c r="H35" s="1">
        <v>28464.799999999999</v>
      </c>
      <c r="I35" s="1">
        <v>2189.6</v>
      </c>
      <c r="J35" t="s">
        <v>24</v>
      </c>
      <c r="K35" t="s">
        <v>50</v>
      </c>
      <c r="L35" s="1">
        <v>50000</v>
      </c>
      <c r="M35" t="s">
        <v>21</v>
      </c>
      <c r="N35" t="s">
        <v>123</v>
      </c>
    </row>
    <row r="36" spans="1:14" x14ac:dyDescent="0.3">
      <c r="A36" t="s">
        <v>124</v>
      </c>
      <c r="B36" t="s">
        <v>113</v>
      </c>
      <c r="C36" t="s">
        <v>114</v>
      </c>
      <c r="D36" t="s">
        <v>115</v>
      </c>
      <c r="E36" t="s">
        <v>116</v>
      </c>
      <c r="F36">
        <v>11</v>
      </c>
      <c r="G36">
        <v>12</v>
      </c>
      <c r="H36" s="1">
        <v>42074.2</v>
      </c>
      <c r="I36" s="1">
        <v>3506.18</v>
      </c>
      <c r="J36" t="s">
        <v>31</v>
      </c>
      <c r="K36" t="s">
        <v>125</v>
      </c>
      <c r="L36" s="1">
        <v>100000</v>
      </c>
      <c r="M36" t="s">
        <v>21</v>
      </c>
      <c r="N36" t="s">
        <v>126</v>
      </c>
    </row>
    <row r="37" spans="1:14" x14ac:dyDescent="0.3">
      <c r="A37" t="s">
        <v>127</v>
      </c>
      <c r="B37" t="s">
        <v>113</v>
      </c>
      <c r="C37" t="s">
        <v>114</v>
      </c>
      <c r="D37" t="s">
        <v>115</v>
      </c>
      <c r="E37" t="s">
        <v>116</v>
      </c>
      <c r="F37">
        <v>12</v>
      </c>
      <c r="G37">
        <v>11</v>
      </c>
      <c r="H37" s="1">
        <v>40326.800000000003</v>
      </c>
      <c r="I37" s="1">
        <v>3666.07</v>
      </c>
      <c r="J37" t="s">
        <v>31</v>
      </c>
      <c r="K37" t="s">
        <v>61</v>
      </c>
      <c r="L37" s="1">
        <v>100000</v>
      </c>
      <c r="M37" t="s">
        <v>21</v>
      </c>
      <c r="N37" t="s">
        <v>128</v>
      </c>
    </row>
    <row r="38" spans="1:14" x14ac:dyDescent="0.3">
      <c r="A38" t="s">
        <v>129</v>
      </c>
      <c r="B38" t="s">
        <v>113</v>
      </c>
      <c r="C38" t="s">
        <v>114</v>
      </c>
      <c r="D38" t="s">
        <v>115</v>
      </c>
      <c r="E38" t="s">
        <v>116</v>
      </c>
      <c r="F38">
        <v>13</v>
      </c>
      <c r="G38">
        <v>10</v>
      </c>
      <c r="H38" s="1">
        <v>72527.199999999997</v>
      </c>
      <c r="I38" s="1">
        <v>7252.72</v>
      </c>
      <c r="J38" t="s">
        <v>31</v>
      </c>
      <c r="K38" t="s">
        <v>50</v>
      </c>
      <c r="L38" s="1">
        <v>50000</v>
      </c>
      <c r="M38" t="s">
        <v>106</v>
      </c>
      <c r="N38" t="s">
        <v>130</v>
      </c>
    </row>
    <row r="39" spans="1:14" x14ac:dyDescent="0.3">
      <c r="A39" t="s">
        <v>131</v>
      </c>
      <c r="B39" t="s">
        <v>113</v>
      </c>
      <c r="C39" t="s">
        <v>114</v>
      </c>
      <c r="D39" t="s">
        <v>132</v>
      </c>
      <c r="E39" t="s">
        <v>133</v>
      </c>
      <c r="F39">
        <v>5</v>
      </c>
      <c r="G39">
        <v>18</v>
      </c>
      <c r="H39" s="1">
        <v>50854.1</v>
      </c>
      <c r="I39" s="1">
        <v>2825.23</v>
      </c>
      <c r="J39" t="s">
        <v>31</v>
      </c>
      <c r="K39" t="s">
        <v>41</v>
      </c>
      <c r="L39" s="1">
        <v>75000</v>
      </c>
      <c r="M39" t="s">
        <v>21</v>
      </c>
      <c r="N39" t="s">
        <v>134</v>
      </c>
    </row>
    <row r="40" spans="1:14" x14ac:dyDescent="0.3">
      <c r="A40" t="s">
        <v>135</v>
      </c>
      <c r="B40" t="s">
        <v>113</v>
      </c>
      <c r="C40" t="s">
        <v>114</v>
      </c>
      <c r="D40" t="s">
        <v>132</v>
      </c>
      <c r="E40" t="s">
        <v>133</v>
      </c>
      <c r="F40">
        <v>7</v>
      </c>
      <c r="G40">
        <v>16</v>
      </c>
      <c r="H40" s="1">
        <v>80685.8</v>
      </c>
      <c r="I40" s="1">
        <v>5042.8599999999997</v>
      </c>
      <c r="J40" t="s">
        <v>31</v>
      </c>
      <c r="K40" t="s">
        <v>41</v>
      </c>
      <c r="L40" s="1">
        <v>75000</v>
      </c>
      <c r="M40" t="s">
        <v>106</v>
      </c>
      <c r="N40" t="s">
        <v>136</v>
      </c>
    </row>
    <row r="41" spans="1:14" x14ac:dyDescent="0.3">
      <c r="A41" t="s">
        <v>137</v>
      </c>
      <c r="B41" t="s">
        <v>113</v>
      </c>
      <c r="C41" t="s">
        <v>114</v>
      </c>
      <c r="D41" t="s">
        <v>132</v>
      </c>
      <c r="E41" t="s">
        <v>133</v>
      </c>
      <c r="F41">
        <v>8</v>
      </c>
      <c r="G41">
        <v>15</v>
      </c>
      <c r="H41" s="1">
        <v>67829.100000000006</v>
      </c>
      <c r="I41" s="1">
        <v>4521.9399999999996</v>
      </c>
      <c r="J41" t="s">
        <v>31</v>
      </c>
      <c r="K41" t="s">
        <v>61</v>
      </c>
      <c r="L41" s="1">
        <v>75000</v>
      </c>
      <c r="M41" t="s">
        <v>21</v>
      </c>
      <c r="N41" t="s">
        <v>138</v>
      </c>
    </row>
    <row r="42" spans="1:14" x14ac:dyDescent="0.3">
      <c r="A42" t="s">
        <v>139</v>
      </c>
      <c r="B42" t="s">
        <v>113</v>
      </c>
      <c r="C42" t="s">
        <v>114</v>
      </c>
      <c r="D42" t="s">
        <v>132</v>
      </c>
      <c r="E42" t="str">
        <f>VLOOKUP(D42,L105:M115,2)</f>
        <v>ODYSSEY</v>
      </c>
      <c r="F42">
        <v>1</v>
      </c>
      <c r="G42">
        <v>22</v>
      </c>
      <c r="H42" s="1">
        <v>73444.399999999994</v>
      </c>
      <c r="I42" s="1">
        <v>3338.38</v>
      </c>
      <c r="J42" t="s">
        <v>40</v>
      </c>
      <c r="K42" t="s">
        <v>28</v>
      </c>
      <c r="L42" s="1">
        <v>100000</v>
      </c>
      <c r="M42" t="s">
        <v>21</v>
      </c>
      <c r="N42" t="s">
        <v>140</v>
      </c>
    </row>
    <row r="43" spans="1:14" x14ac:dyDescent="0.3">
      <c r="A43" t="s">
        <v>141</v>
      </c>
      <c r="B43" t="s">
        <v>113</v>
      </c>
      <c r="C43" t="s">
        <v>114</v>
      </c>
      <c r="D43" t="s">
        <v>132</v>
      </c>
      <c r="E43" t="s">
        <v>133</v>
      </c>
      <c r="F43">
        <v>14</v>
      </c>
      <c r="G43">
        <v>9</v>
      </c>
      <c r="H43" s="1">
        <v>44974.8</v>
      </c>
      <c r="I43" s="1">
        <v>4997.2</v>
      </c>
      <c r="J43" t="s">
        <v>24</v>
      </c>
      <c r="K43" t="s">
        <v>58</v>
      </c>
      <c r="L43" s="1">
        <v>100000</v>
      </c>
      <c r="M43" t="s">
        <v>21</v>
      </c>
      <c r="N43" t="s">
        <v>142</v>
      </c>
    </row>
    <row r="44" spans="1:14" x14ac:dyDescent="0.3">
      <c r="A44" t="s">
        <v>143</v>
      </c>
      <c r="B44" t="s">
        <v>144</v>
      </c>
      <c r="C44" t="s">
        <v>145</v>
      </c>
      <c r="D44" t="s">
        <v>146</v>
      </c>
      <c r="E44" t="s">
        <v>147</v>
      </c>
      <c r="F44">
        <v>4</v>
      </c>
      <c r="G44">
        <v>19</v>
      </c>
      <c r="H44" s="1">
        <v>68658.899999999994</v>
      </c>
      <c r="I44" s="1">
        <v>3613.63</v>
      </c>
      <c r="J44" t="s">
        <v>40</v>
      </c>
      <c r="K44" t="s">
        <v>105</v>
      </c>
      <c r="L44" s="1">
        <v>100000</v>
      </c>
      <c r="M44" t="s">
        <v>21</v>
      </c>
      <c r="N44" t="s">
        <v>148</v>
      </c>
    </row>
    <row r="45" spans="1:14" x14ac:dyDescent="0.3">
      <c r="A45" t="s">
        <v>149</v>
      </c>
      <c r="B45" t="s">
        <v>144</v>
      </c>
      <c r="C45" t="s">
        <v>145</v>
      </c>
      <c r="D45" t="s">
        <v>146</v>
      </c>
      <c r="E45" t="s">
        <v>147</v>
      </c>
      <c r="F45">
        <v>7</v>
      </c>
      <c r="G45">
        <v>16</v>
      </c>
      <c r="H45" s="1">
        <v>60389.5</v>
      </c>
      <c r="I45" s="1">
        <v>3774.34</v>
      </c>
      <c r="J45" t="s">
        <v>31</v>
      </c>
      <c r="K45" t="s">
        <v>96</v>
      </c>
      <c r="L45" s="1">
        <v>100000</v>
      </c>
      <c r="M45" t="s">
        <v>21</v>
      </c>
      <c r="N45" t="s">
        <v>150</v>
      </c>
    </row>
    <row r="46" spans="1:14" x14ac:dyDescent="0.3">
      <c r="A46" t="s">
        <v>151</v>
      </c>
      <c r="B46" t="s">
        <v>144</v>
      </c>
      <c r="C46" t="s">
        <v>145</v>
      </c>
      <c r="D46" t="s">
        <v>146</v>
      </c>
      <c r="E46" t="s">
        <v>147</v>
      </c>
      <c r="F46">
        <v>11</v>
      </c>
      <c r="G46">
        <v>12</v>
      </c>
      <c r="H46" s="1">
        <v>85928</v>
      </c>
      <c r="I46" s="1">
        <v>7160.67</v>
      </c>
      <c r="J46" t="s">
        <v>40</v>
      </c>
      <c r="K46" t="s">
        <v>20</v>
      </c>
      <c r="L46" s="1">
        <v>100000</v>
      </c>
      <c r="M46" t="s">
        <v>21</v>
      </c>
      <c r="N46" t="s">
        <v>152</v>
      </c>
    </row>
    <row r="47" spans="1:14" x14ac:dyDescent="0.3">
      <c r="A47" t="s">
        <v>153</v>
      </c>
      <c r="B47" t="s">
        <v>144</v>
      </c>
      <c r="C47" t="s">
        <v>145</v>
      </c>
      <c r="D47" t="s">
        <v>154</v>
      </c>
      <c r="E47" t="s">
        <v>155</v>
      </c>
      <c r="F47">
        <v>99</v>
      </c>
      <c r="G47">
        <v>24</v>
      </c>
      <c r="H47" s="1">
        <v>82374</v>
      </c>
      <c r="I47" s="1">
        <v>3432.25</v>
      </c>
      <c r="J47" t="s">
        <v>40</v>
      </c>
      <c r="K47" t="s">
        <v>96</v>
      </c>
      <c r="L47" s="1">
        <v>100000</v>
      </c>
      <c r="M47" t="s">
        <v>21</v>
      </c>
      <c r="N47" t="s">
        <v>156</v>
      </c>
    </row>
    <row r="48" spans="1:14" x14ac:dyDescent="0.3">
      <c r="A48" t="s">
        <v>157</v>
      </c>
      <c r="B48" t="s">
        <v>144</v>
      </c>
      <c r="C48" t="s">
        <v>145</v>
      </c>
      <c r="D48" t="s">
        <v>154</v>
      </c>
      <c r="E48" t="s">
        <v>155</v>
      </c>
      <c r="F48">
        <v>0</v>
      </c>
      <c r="G48">
        <v>23</v>
      </c>
      <c r="H48" s="1">
        <v>93382.6</v>
      </c>
      <c r="I48" s="1">
        <v>4060.11</v>
      </c>
      <c r="J48" t="s">
        <v>31</v>
      </c>
      <c r="K48" t="s">
        <v>25</v>
      </c>
      <c r="L48" s="1">
        <v>100000</v>
      </c>
      <c r="M48" t="s">
        <v>21</v>
      </c>
      <c r="N48" t="s">
        <v>158</v>
      </c>
    </row>
    <row r="49" spans="1:14" x14ac:dyDescent="0.3">
      <c r="A49" t="s">
        <v>159</v>
      </c>
      <c r="B49" t="s">
        <v>144</v>
      </c>
      <c r="C49" t="s">
        <v>145</v>
      </c>
      <c r="D49" t="s">
        <v>154</v>
      </c>
      <c r="E49" t="s">
        <v>155</v>
      </c>
      <c r="F49">
        <v>4</v>
      </c>
      <c r="G49">
        <v>19</v>
      </c>
      <c r="H49" s="1">
        <v>64542</v>
      </c>
      <c r="I49" s="1">
        <v>3396.95</v>
      </c>
      <c r="J49" t="s">
        <v>24</v>
      </c>
      <c r="K49" t="s">
        <v>160</v>
      </c>
      <c r="L49" s="1">
        <v>75000</v>
      </c>
      <c r="M49" t="s">
        <v>21</v>
      </c>
      <c r="N49" t="s">
        <v>161</v>
      </c>
    </row>
    <row r="50" spans="1:14" x14ac:dyDescent="0.3">
      <c r="A50" t="s">
        <v>162</v>
      </c>
      <c r="B50" t="s">
        <v>144</v>
      </c>
      <c r="C50" t="s">
        <v>145</v>
      </c>
      <c r="D50" t="s">
        <v>154</v>
      </c>
      <c r="E50" t="s">
        <v>155</v>
      </c>
      <c r="F50">
        <v>4</v>
      </c>
      <c r="G50">
        <v>19</v>
      </c>
      <c r="H50" s="1">
        <v>114660.6</v>
      </c>
      <c r="I50" s="1">
        <v>6034.77</v>
      </c>
      <c r="J50" t="s">
        <v>40</v>
      </c>
      <c r="K50" t="s">
        <v>125</v>
      </c>
      <c r="L50" s="1">
        <v>75000</v>
      </c>
      <c r="M50" t="s">
        <v>106</v>
      </c>
      <c r="N50" t="s">
        <v>163</v>
      </c>
    </row>
    <row r="51" spans="1:14" x14ac:dyDescent="0.3">
      <c r="A51" t="s">
        <v>164</v>
      </c>
      <c r="B51" t="s">
        <v>165</v>
      </c>
      <c r="C51" t="s">
        <v>166</v>
      </c>
      <c r="D51" t="s">
        <v>167</v>
      </c>
      <c r="E51" t="s">
        <v>168</v>
      </c>
      <c r="F51">
        <v>11</v>
      </c>
      <c r="G51">
        <v>12</v>
      </c>
      <c r="H51" s="1">
        <v>77243.100000000006</v>
      </c>
      <c r="I51" s="1">
        <v>6436.93</v>
      </c>
      <c r="J51" t="s">
        <v>24</v>
      </c>
      <c r="K51" t="s">
        <v>125</v>
      </c>
      <c r="L51" s="1">
        <v>100000</v>
      </c>
      <c r="M51" t="s">
        <v>21</v>
      </c>
      <c r="N51" t="s">
        <v>169</v>
      </c>
    </row>
    <row r="52" spans="1:14" x14ac:dyDescent="0.3">
      <c r="A52" t="s">
        <v>170</v>
      </c>
      <c r="B52" t="s">
        <v>165</v>
      </c>
      <c r="C52" t="s">
        <v>166</v>
      </c>
      <c r="D52" t="s">
        <v>167</v>
      </c>
      <c r="E52" t="s">
        <v>168</v>
      </c>
      <c r="F52">
        <v>12</v>
      </c>
      <c r="G52">
        <v>11</v>
      </c>
      <c r="H52" s="1">
        <v>69891.899999999994</v>
      </c>
      <c r="I52" s="1">
        <v>6353.81</v>
      </c>
      <c r="J52" t="s">
        <v>31</v>
      </c>
      <c r="K52" t="s">
        <v>20</v>
      </c>
      <c r="L52" s="1">
        <v>75000</v>
      </c>
      <c r="M52" t="s">
        <v>21</v>
      </c>
      <c r="N52" t="s">
        <v>171</v>
      </c>
    </row>
    <row r="53" spans="1:14" x14ac:dyDescent="0.3">
      <c r="A53" t="s">
        <v>172</v>
      </c>
      <c r="B53" t="s">
        <v>165</v>
      </c>
      <c r="C53" t="s">
        <v>166</v>
      </c>
      <c r="D53" t="s">
        <v>167</v>
      </c>
      <c r="E53" t="s">
        <v>168</v>
      </c>
      <c r="F53">
        <v>13</v>
      </c>
      <c r="G53">
        <v>10</v>
      </c>
      <c r="H53" s="1">
        <v>79420.600000000006</v>
      </c>
      <c r="I53" s="1">
        <v>7942.06</v>
      </c>
      <c r="J53" t="s">
        <v>31</v>
      </c>
      <c r="K53" t="s">
        <v>47</v>
      </c>
      <c r="L53" s="1">
        <v>75000</v>
      </c>
      <c r="M53" t="s">
        <v>106</v>
      </c>
      <c r="N53" t="s">
        <v>173</v>
      </c>
    </row>
    <row r="54" spans="1:14" x14ac:dyDescent="0.3">
      <c r="A54" t="s">
        <v>174</v>
      </c>
      <c r="B54" t="s">
        <v>165</v>
      </c>
      <c r="C54" t="s">
        <v>166</v>
      </c>
      <c r="D54" t="s">
        <v>167</v>
      </c>
      <c r="E54" t="s">
        <v>168</v>
      </c>
      <c r="F54">
        <v>13</v>
      </c>
      <c r="G54">
        <v>10</v>
      </c>
      <c r="H54" s="1">
        <v>83162.7</v>
      </c>
      <c r="I54" s="1">
        <v>8316.27</v>
      </c>
      <c r="J54" t="s">
        <v>31</v>
      </c>
      <c r="K54" t="s">
        <v>105</v>
      </c>
      <c r="L54" s="1">
        <v>100000</v>
      </c>
      <c r="M54" t="s">
        <v>21</v>
      </c>
      <c r="N54" t="s">
        <v>175</v>
      </c>
    </row>
    <row r="105" spans="2:13" x14ac:dyDescent="0.3">
      <c r="B105" t="s">
        <v>144</v>
      </c>
      <c r="C105" t="s">
        <v>145</v>
      </c>
      <c r="L105" t="s">
        <v>86</v>
      </c>
      <c r="M105" t="s">
        <v>87</v>
      </c>
    </row>
    <row r="106" spans="2:13" x14ac:dyDescent="0.3">
      <c r="B106" t="s">
        <v>15</v>
      </c>
      <c r="C106" t="s">
        <v>16</v>
      </c>
      <c r="L106" t="s">
        <v>154</v>
      </c>
      <c r="M106" t="s">
        <v>155</v>
      </c>
    </row>
    <row r="107" spans="2:13" x14ac:dyDescent="0.3">
      <c r="B107" t="s">
        <v>64</v>
      </c>
      <c r="C107" t="s">
        <v>65</v>
      </c>
      <c r="I107" t="s">
        <v>176</v>
      </c>
      <c r="L107" t="s">
        <v>115</v>
      </c>
      <c r="M107" t="s">
        <v>116</v>
      </c>
    </row>
    <row r="108" spans="2:13" x14ac:dyDescent="0.3">
      <c r="B108" t="s">
        <v>113</v>
      </c>
      <c r="C108" t="s">
        <v>114</v>
      </c>
      <c r="L108" t="s">
        <v>66</v>
      </c>
      <c r="M108" t="s">
        <v>67</v>
      </c>
    </row>
    <row r="109" spans="2:13" x14ac:dyDescent="0.3">
      <c r="B109" t="s">
        <v>165</v>
      </c>
      <c r="C109" t="s">
        <v>166</v>
      </c>
      <c r="L109" t="s">
        <v>99</v>
      </c>
      <c r="M109" t="s">
        <v>100</v>
      </c>
    </row>
    <row r="110" spans="2:13" x14ac:dyDescent="0.3">
      <c r="B110" t="s">
        <v>84</v>
      </c>
      <c r="C110" t="s">
        <v>85</v>
      </c>
      <c r="L110" t="s">
        <v>167</v>
      </c>
      <c r="M110" t="s">
        <v>168</v>
      </c>
    </row>
    <row r="111" spans="2:13" x14ac:dyDescent="0.3">
      <c r="L111" t="s">
        <v>38</v>
      </c>
      <c r="M111" t="s">
        <v>39</v>
      </c>
    </row>
    <row r="112" spans="2:13" x14ac:dyDescent="0.3">
      <c r="L112" t="s">
        <v>17</v>
      </c>
      <c r="M112" t="s">
        <v>18</v>
      </c>
    </row>
    <row r="113" spans="12:13" x14ac:dyDescent="0.3">
      <c r="L113" t="s">
        <v>132</v>
      </c>
      <c r="M113" t="s">
        <v>133</v>
      </c>
    </row>
    <row r="114" spans="12:13" x14ac:dyDescent="0.3">
      <c r="L114" t="s">
        <v>146</v>
      </c>
      <c r="M114" t="s">
        <v>147</v>
      </c>
    </row>
    <row r="115" spans="12:13" x14ac:dyDescent="0.3">
      <c r="L115" t="s">
        <v>74</v>
      </c>
      <c r="M115" t="s">
        <v>75</v>
      </c>
    </row>
  </sheetData>
  <mergeCells count="1">
    <mergeCell ref="A1:N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91CB7-00C1-4E19-9ECA-716468A02EF8}">
  <dimension ref="A3:B10"/>
  <sheetViews>
    <sheetView workbookViewId="0">
      <selection activeCell="C13" sqref="C13"/>
    </sheetView>
  </sheetViews>
  <sheetFormatPr defaultRowHeight="14.4" x14ac:dyDescent="0.3"/>
  <cols>
    <col min="1" max="1" width="16.5546875" bestFit="1" customWidth="1"/>
    <col min="2" max="4" width="24.6640625" bestFit="1" customWidth="1"/>
  </cols>
  <sheetData>
    <row r="3" spans="1:2" x14ac:dyDescent="0.3">
      <c r="A3" s="3" t="s">
        <v>177</v>
      </c>
      <c r="B3" t="s">
        <v>179</v>
      </c>
    </row>
    <row r="4" spans="1:2" x14ac:dyDescent="0.3">
      <c r="A4" s="4" t="s">
        <v>145</v>
      </c>
      <c r="B4">
        <v>7</v>
      </c>
    </row>
    <row r="5" spans="1:2" x14ac:dyDescent="0.3">
      <c r="A5" s="4" t="s">
        <v>16</v>
      </c>
      <c r="B5">
        <v>13</v>
      </c>
    </row>
    <row r="6" spans="1:2" x14ac:dyDescent="0.3">
      <c r="A6" s="4" t="s">
        <v>65</v>
      </c>
      <c r="B6">
        <v>6</v>
      </c>
    </row>
    <row r="7" spans="1:2" x14ac:dyDescent="0.3">
      <c r="A7" s="4" t="s">
        <v>114</v>
      </c>
      <c r="B7">
        <v>12</v>
      </c>
    </row>
    <row r="8" spans="1:2" x14ac:dyDescent="0.3">
      <c r="A8" s="4" t="s">
        <v>166</v>
      </c>
      <c r="B8">
        <v>4</v>
      </c>
    </row>
    <row r="9" spans="1:2" x14ac:dyDescent="0.3">
      <c r="A9" s="4" t="s">
        <v>85</v>
      </c>
      <c r="B9">
        <v>10</v>
      </c>
    </row>
    <row r="10" spans="1:2" x14ac:dyDescent="0.3">
      <c r="A10" s="4" t="s">
        <v>178</v>
      </c>
      <c r="B10">
        <v>52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 inventory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Vinay</cp:lastModifiedBy>
  <dcterms:modified xsi:type="dcterms:W3CDTF">2023-08-07T16:29:29Z</dcterms:modified>
</cp:coreProperties>
</file>